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data" ContentType="application/binary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Data/itemProps1.xml" ContentType="application/vnd.ms-excel.customDataProperti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2895" yWindow="1020" windowWidth="14805" windowHeight="8010"/>
  </bookViews>
  <sheets>
    <sheet name="Timeline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5" i="1" l="1"/>
  <c r="F35" i="1" l="1"/>
  <c r="E3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4" i="1"/>
  <c r="F2" i="1"/>
  <c r="G1" i="1" s="1"/>
</calcChain>
</file>

<file path=xl/connections.xml><?xml version="1.0" encoding="utf-8"?>
<connections xmlns="http://schemas.openxmlformats.org/spreadsheetml/2006/main">
  <connection id="1" keepAlive="1" name="PowerPivot Data" description="This connection is used by Excel for communication between the workbook and embedded PowerPivot data, and should not be manually edited or deleted." type="5" refreshedVersion="0" background="1">
    <dbPr connection="Provider=MSOLAP.4;Persist Security Info=True;Initial Catalog=Microsoft_SQLServer_AnalysisServices;Data Source=$Embedded$;MDX Compatibility=1;Safety Options=2;MDX Missing Member Mode=Error;Optimize Response=3;Cell Error Mode=TextValue" command="Sandbox" commandType="1"/>
    <olapPr sendLocale="1" rowDrillCount="1000"/>
    <extLst>
      <ext xmlns:x14="http://schemas.microsoft.com/office/spreadsheetml/2009/9/main" uri="{D79990A0-CA42-45e3-83F4-45C500A0EAA5}">
        <x14:connection culture="" embeddedDataId="Microsoft_SQLServer_AnalysisServices"/>
      </ext>
    </extLst>
  </connection>
</connections>
</file>

<file path=xl/sharedStrings.xml><?xml version="1.0" encoding="utf-8"?>
<sst xmlns="http://schemas.openxmlformats.org/spreadsheetml/2006/main" count="77" uniqueCount="47">
  <si>
    <t>Title:</t>
  </si>
  <si>
    <t>Height</t>
  </si>
  <si>
    <t>Axis</t>
  </si>
  <si>
    <t>Label</t>
  </si>
  <si>
    <t>Instructions</t>
  </si>
  <si>
    <t>Smiles at the sound of your voice</t>
  </si>
  <si>
    <t>Raises head and chest when lying on stomach</t>
  </si>
  <si>
    <t>Grasps objects</t>
  </si>
  <si>
    <t>Smiles at other people</t>
  </si>
  <si>
    <t>Babbles, laughs, and tries to imitate sounds</t>
  </si>
  <si>
    <t>Rolls from back to stomach and stomach to back</t>
  </si>
  <si>
    <t>Moves objects from hand to hand</t>
  </si>
  <si>
    <t>Responds to own name</t>
  </si>
  <si>
    <t>Finds partially hidden objects</t>
  </si>
  <si>
    <t>Sits without support</t>
  </si>
  <si>
    <t>Crawls</t>
  </si>
  <si>
    <t>Walks with or without support</t>
  </si>
  <si>
    <t>Says at least one word</t>
  </si>
  <si>
    <t>Enjoys imitating people</t>
  </si>
  <si>
    <t>Walks independently</t>
  </si>
  <si>
    <t>Drinks from a cup</t>
  </si>
  <si>
    <t>Months</t>
  </si>
  <si>
    <t>Status</t>
  </si>
  <si>
    <t>Birthdate</t>
  </si>
  <si>
    <t>Says at least 15 words</t>
  </si>
  <si>
    <t>Runs</t>
  </si>
  <si>
    <t>Speaks in two-word sentences</t>
  </si>
  <si>
    <t>Follows simple instructions</t>
  </si>
  <si>
    <t>Begins make-believe play</t>
  </si>
  <si>
    <t>Climbs well</t>
  </si>
  <si>
    <t>Speaks in multiword sentences</t>
  </si>
  <si>
    <t>Sorts objects by shape and color</t>
  </si>
  <si>
    <t>Gets along with people outside the family</t>
  </si>
  <si>
    <t>Draws circles and squares</t>
  </si>
  <si>
    <t>Rides a tricycle</t>
  </si>
  <si>
    <t>Tells name and address</t>
  </si>
  <si>
    <t>Jumps, hops, and skips</t>
  </si>
  <si>
    <t>Gets dressed</t>
  </si>
  <si>
    <t>Counts 10 or more objects</t>
  </si>
  <si>
    <t>Aarohi</t>
  </si>
  <si>
    <t>Baby Name:</t>
  </si>
  <si>
    <t>Age</t>
  </si>
  <si>
    <t>Today</t>
  </si>
  <si>
    <t>Timeline of Childhood Developmental Milestones</t>
  </si>
  <si>
    <t>green</t>
  </si>
  <si>
    <t>gray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</si>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</sst>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sz val="8"/>
      <color indexed="55"/>
      <name val="Tahoma"/>
      <family val="2"/>
    </font>
    <font>
      <sz val="1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name val="Cambria"/>
      <family val="1"/>
      <scheme val="maj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C9DAFB"/>
        <bgColor rgb="FF000000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4" borderId="0" xfId="0" applyFont="1" applyFill="1" applyBorder="1" applyAlignment="1">
      <alignment horizontal="left" wrapText="1"/>
    </xf>
    <xf numFmtId="0" fontId="4" fillId="0" borderId="0" xfId="0" applyFont="1" applyFill="1" applyBorder="1"/>
    <xf numFmtId="0" fontId="2" fillId="0" borderId="0" xfId="0" applyFont="1" applyFill="1" applyBorder="1"/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/>
    </xf>
    <xf numFmtId="0" fontId="7" fillId="2" borderId="0" xfId="0" applyFont="1" applyFill="1" applyAlignment="1">
      <alignment wrapText="1"/>
    </xf>
    <xf numFmtId="164" fontId="0" fillId="5" borderId="0" xfId="0" applyNumberFormat="1" applyFill="1" applyAlignment="1">
      <alignment wrapText="1"/>
    </xf>
    <xf numFmtId="0" fontId="8" fillId="0" borderId="0" xfId="0" applyFont="1"/>
  </cellXfs>
  <cellStyles count="1">
    <cellStyle name="Normal" xfId="0" builtinId="0"/>
  </cellStyles>
  <dxfs count="5">
    <dxf>
      <font>
        <color rgb="FF7030A0"/>
      </font>
    </dxf>
    <dxf>
      <font>
        <color theme="1" tint="0.499984740745262"/>
      </font>
    </dxf>
    <dxf>
      <font>
        <color rgb="FFFFFF99"/>
      </font>
    </dxf>
    <dxf>
      <font>
        <color rgb="FF00B050"/>
      </font>
    </dxf>
    <dxf>
      <font>
        <color rgb="FF9C0006"/>
      </font>
    </dxf>
  </dxfs>
  <tableStyles count="0" defaultTableStyle="TableStyleMedium2" defaultPivotStyle="PivotStyleMedium9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customDataProps" Target="customData/itemProps1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704403463927322E-2"/>
          <c:y val="5.747125136409373E-3"/>
          <c:w val="0.94078904627783144"/>
          <c:h val="0.936781623499496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ash"/>
            <c:size val="5"/>
            <c:spPr>
              <a:solidFill>
                <a:schemeClr val="accent1"/>
              </a:solidFill>
            </c:spPr>
          </c:marker>
          <c:dPt>
            <c:idx val="0"/>
            <c:marker>
              <c:symbol val="dash"/>
              <c:size val="4"/>
            </c:marker>
            <c:bubble3D val="0"/>
          </c:dPt>
          <c:dLbls>
            <c:dLbl>
              <c:idx val="0"/>
              <c:layout/>
              <c:tx>
                <c:strRef>
                  <c:f>Timeline!$B$4</c:f>
                  <c:strCache>
                    <c:ptCount val="1"/>
                    <c:pt idx="0">
                      <c:v>Smiles at the sound of your voice</c:v>
                    </c:pt>
                  </c:strCache>
                </c:strRef>
              </c:tx>
              <c:numFmt formatCode="@" sourceLinked="0"/>
              <c:spPr>
                <a:solidFill>
                  <a:srgbClr val="FF0000">
                    <a:alpha val="0"/>
                  </a:srgbClr>
                </a:solidFill>
              </c:spPr>
              <c:txPr>
                <a:bodyPr anchor="t" anchorCtr="0"/>
                <a:lstStyle/>
                <a:p>
                  <a:pPr>
                    <a:defRPr>
                      <a:solidFill>
                        <a:srgbClr val="008080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008080"/>
                        </a:solidFill>
                      </a:defRPr>
                    </a:pPr>
                    <a:r>
                      <a:rPr lang="en-US"/>
                      <a:t>Raises head and chest when lying on stomach</a:t>
                    </a:r>
                  </a:p>
                </c:rich>
              </c:tx>
              <c:numFmt formatCode="@" sourceLinked="0"/>
              <c:spPr>
                <a:solidFill>
                  <a:srgbClr val="79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008080"/>
                        </a:solidFill>
                      </a:defRPr>
                    </a:pPr>
                    <a:r>
                      <a:rPr lang="en-US"/>
                      <a:t>Grasps objects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008080"/>
                        </a:solidFill>
                      </a:defRPr>
                    </a:pPr>
                    <a:r>
                      <a:rPr lang="en-US"/>
                      <a:t>Smiles at other people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Babbles, laughs, and tries to imitate sounds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Rolls from back to stomach and stomach to back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Moves objects from hand to hand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Responds to own name</a:t>
                    </a:r>
                  </a:p>
                </c:rich>
              </c:tx>
              <c:numFmt formatCode="@" sourceLinked="0"/>
              <c:spPr>
                <a:solidFill>
                  <a:srgbClr val="22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Finds partially hidden objects</a:t>
                    </a:r>
                  </a:p>
                </c:rich>
              </c:tx>
              <c:numFmt formatCode="@" sourceLinked="0"/>
              <c:spPr>
                <a:solidFill>
                  <a:srgbClr val="FF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Sits without support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Crawls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Walks with or without support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Says at least one word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Enjoys imitating people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Walks independently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5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Drinks from a cup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6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Says at least 15 words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7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Runs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8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Speaks in two-word sentences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9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Follows simple instructions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0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Begins make-believe play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1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Climbs well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2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Speaks in multiword sentences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3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Sorts objects by shape and color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4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Gets along with people outside the family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5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Draws circles and squares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6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Rides a tricycle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7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Tells name and address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8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Jumps, hops, and skips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9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Gets dressed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0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808080"/>
                        </a:solidFill>
                      </a:defRPr>
                    </a:pPr>
                    <a:r>
                      <a:rPr lang="en-US"/>
                      <a:t>Counts 10 or more objects</a:t>
                    </a:r>
                  </a:p>
                </c:rich>
              </c:tx>
              <c:numFmt formatCode="@" sourceLinked="0"/>
              <c:spPr>
                <a:solidFill>
                  <a:srgbClr val="000000">
                    <a:alpha val="0"/>
                  </a:srgbClr>
                </a:solidFill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1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rgbClr val="666699"/>
                        </a:solidFill>
                      </a:defRPr>
                    </a:pPr>
                    <a:r>
                      <a:rPr lang="en-US"/>
                      <a:t>Today</a:t>
                    </a:r>
                  </a:p>
                </c:rich>
              </c:tx>
              <c:numFmt formatCode="@" sourceLinked="0"/>
              <c:spPr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@" sourceLinked="0"/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errBars>
            <c:errDir val="y"/>
            <c:errBarType val="minus"/>
            <c:errValType val="percentage"/>
            <c:noEndCap val="0"/>
            <c:val val="100"/>
            <c:spPr>
              <a:ln w="25400">
                <a:solidFill>
                  <a:schemeClr val="tx2">
                    <a:lumMod val="60000"/>
                    <a:lumOff val="40000"/>
                  </a:schemeClr>
                </a:solidFill>
                <a:round/>
              </a:ln>
            </c:spPr>
          </c:errBars>
          <c:errBars>
            <c:errDir val="x"/>
            <c:errBarType val="plus"/>
            <c:errValType val="fixedVal"/>
            <c:noEndCap val="1"/>
            <c:val val="1"/>
            <c:spPr>
              <a:ln>
                <a:noFill/>
              </a:ln>
            </c:spPr>
          </c:errBars>
          <c:xVal>
            <c:numRef>
              <c:f>Timeline!$E$4:$E$35</c:f>
              <c:numCache>
                <c:formatCode>[$-F800]dddd\,\ mmmm\ dd\,\ yyyy</c:formatCode>
                <c:ptCount val="32"/>
                <c:pt idx="0">
                  <c:v>40870</c:v>
                </c:pt>
                <c:pt idx="1">
                  <c:v>40899</c:v>
                </c:pt>
                <c:pt idx="2">
                  <c:v>40899</c:v>
                </c:pt>
                <c:pt idx="3">
                  <c:v>40899</c:v>
                </c:pt>
                <c:pt idx="4">
                  <c:v>40930</c:v>
                </c:pt>
                <c:pt idx="5">
                  <c:v>40991</c:v>
                </c:pt>
                <c:pt idx="6">
                  <c:v>40991</c:v>
                </c:pt>
                <c:pt idx="7">
                  <c:v>41021</c:v>
                </c:pt>
                <c:pt idx="8">
                  <c:v>41021</c:v>
                </c:pt>
                <c:pt idx="9">
                  <c:v>41083</c:v>
                </c:pt>
                <c:pt idx="10">
                  <c:v>41083</c:v>
                </c:pt>
                <c:pt idx="11">
                  <c:v>41174</c:v>
                </c:pt>
                <c:pt idx="12">
                  <c:v>41174</c:v>
                </c:pt>
                <c:pt idx="13">
                  <c:v>41174</c:v>
                </c:pt>
                <c:pt idx="14">
                  <c:v>41356</c:v>
                </c:pt>
                <c:pt idx="15">
                  <c:v>41356</c:v>
                </c:pt>
                <c:pt idx="16">
                  <c:v>41356</c:v>
                </c:pt>
                <c:pt idx="17">
                  <c:v>41539</c:v>
                </c:pt>
                <c:pt idx="18">
                  <c:v>41539</c:v>
                </c:pt>
                <c:pt idx="19">
                  <c:v>41539</c:v>
                </c:pt>
                <c:pt idx="20">
                  <c:v>41539</c:v>
                </c:pt>
                <c:pt idx="21">
                  <c:v>41904</c:v>
                </c:pt>
                <c:pt idx="22">
                  <c:v>41904</c:v>
                </c:pt>
                <c:pt idx="23">
                  <c:v>41904</c:v>
                </c:pt>
                <c:pt idx="24">
                  <c:v>42269</c:v>
                </c:pt>
                <c:pt idx="25">
                  <c:v>42269</c:v>
                </c:pt>
                <c:pt idx="26">
                  <c:v>42269</c:v>
                </c:pt>
                <c:pt idx="27">
                  <c:v>42635</c:v>
                </c:pt>
                <c:pt idx="28">
                  <c:v>42635</c:v>
                </c:pt>
                <c:pt idx="29">
                  <c:v>42635</c:v>
                </c:pt>
                <c:pt idx="30">
                  <c:v>42635</c:v>
                </c:pt>
                <c:pt idx="31">
                  <c:v>40906</c:v>
                </c:pt>
              </c:numCache>
            </c:numRef>
          </c:xVal>
          <c:yVal>
            <c:numRef>
              <c:f>Timeline!$D$4:$D$35</c:f>
              <c:numCache>
                <c:formatCode>General</c:formatCode>
                <c:ptCount val="32"/>
                <c:pt idx="0">
                  <c:v>5</c:v>
                </c:pt>
                <c:pt idx="1">
                  <c:v>-35</c:v>
                </c:pt>
                <c:pt idx="2">
                  <c:v>-13</c:v>
                </c:pt>
                <c:pt idx="3">
                  <c:v>25</c:v>
                </c:pt>
                <c:pt idx="4">
                  <c:v>35</c:v>
                </c:pt>
                <c:pt idx="5">
                  <c:v>15</c:v>
                </c:pt>
                <c:pt idx="6">
                  <c:v>-20</c:v>
                </c:pt>
                <c:pt idx="7">
                  <c:v>-7</c:v>
                </c:pt>
                <c:pt idx="8">
                  <c:v>10</c:v>
                </c:pt>
                <c:pt idx="9">
                  <c:v>-28</c:v>
                </c:pt>
                <c:pt idx="10">
                  <c:v>-25</c:v>
                </c:pt>
                <c:pt idx="11">
                  <c:v>-15</c:v>
                </c:pt>
                <c:pt idx="12">
                  <c:v>28</c:v>
                </c:pt>
                <c:pt idx="13">
                  <c:v>22</c:v>
                </c:pt>
                <c:pt idx="14">
                  <c:v>12</c:v>
                </c:pt>
                <c:pt idx="15">
                  <c:v>32</c:v>
                </c:pt>
                <c:pt idx="16">
                  <c:v>-8</c:v>
                </c:pt>
                <c:pt idx="17">
                  <c:v>5</c:v>
                </c:pt>
                <c:pt idx="18">
                  <c:v>18</c:v>
                </c:pt>
                <c:pt idx="19">
                  <c:v>25</c:v>
                </c:pt>
                <c:pt idx="20">
                  <c:v>-20</c:v>
                </c:pt>
                <c:pt idx="21">
                  <c:v>30</c:v>
                </c:pt>
                <c:pt idx="22">
                  <c:v>7</c:v>
                </c:pt>
                <c:pt idx="23">
                  <c:v>-15</c:v>
                </c:pt>
                <c:pt idx="24">
                  <c:v>-25</c:v>
                </c:pt>
                <c:pt idx="25">
                  <c:v>15</c:v>
                </c:pt>
                <c:pt idx="26">
                  <c:v>25</c:v>
                </c:pt>
                <c:pt idx="27">
                  <c:v>-10</c:v>
                </c:pt>
                <c:pt idx="28">
                  <c:v>10</c:v>
                </c:pt>
                <c:pt idx="29">
                  <c:v>20</c:v>
                </c:pt>
                <c:pt idx="30">
                  <c:v>-20</c:v>
                </c:pt>
                <c:pt idx="31">
                  <c:v>10</c:v>
                </c:pt>
              </c:numCache>
            </c:numRef>
          </c:yVal>
          <c:smooth val="0"/>
        </c:ser>
        <c:dLbls>
          <c:showLegendKey val="0"/>
          <c:showVal val="1"/>
          <c:showCatName val="1"/>
          <c:showSerName val="0"/>
          <c:showPercent val="0"/>
          <c:showBubbleSize val="0"/>
        </c:dLbls>
        <c:axId val="255142528"/>
        <c:axId val="255164800"/>
      </c:scatterChart>
      <c:valAx>
        <c:axId val="255142528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50800" cap="flat" cmpd="sng">
            <a:solidFill>
              <a:schemeClr val="tx2">
                <a:lumMod val="60000"/>
                <a:lumOff val="40000"/>
              </a:schemeClr>
            </a:solidFill>
            <a:bevel/>
            <a:headEnd type="oval"/>
            <a:tailEnd type="triangle"/>
          </a:ln>
        </c:spPr>
        <c:crossAx val="255164800"/>
        <c:crosses val="autoZero"/>
        <c:crossBetween val="midCat"/>
      </c:valAx>
      <c:valAx>
        <c:axId val="255164800"/>
        <c:scaling>
          <c:orientation val="minMax"/>
        </c:scaling>
        <c:delete val="1"/>
        <c:axPos val="l"/>
        <c:majorGridlines>
          <c:spPr>
            <a:ln>
              <a:solidFill>
                <a:schemeClr val="accent1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255142528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  <a:ln>
      <a:noFill/>
    </a:ln>
  </c:spPr>
  <c:printSettings>
    <c:headerFooter/>
    <c:pageMargins b="0.75" l="0.7" r="0.7" t="0.75" header="0.3" footer="0.3"/>
    <c:pageSetup orientation="portrait"/>
  </c:printSettings>
  <c:userShapes r:id="rId2"/>
</c:chartSpace>
</file>

<file path=xl/customData/_rels/itemProps1.xml.rels><?xml version="1.0" encoding="UTF-8" standalone="yes"?>
<Relationships xmlns="http://schemas.openxmlformats.org/package/2006/relationships"><Relationship Id="rId1" Type="http://schemas.microsoft.com/office/2007/relationships/customData" Target="item1.data"/></Relationships>
</file>

<file path=xl/customData/itemProps1.xml><?xml version="1.0" encoding="utf-8"?>
<datastoreItem xmlns="http://schemas.microsoft.com/office/spreadsheetml/2009/9/main" id="Microsoft_SQLServer_AnalysisServices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19049</xdr:colOff>
      <xdr:row>3</xdr:row>
      <xdr:rowOff>9525</xdr:rowOff>
    </xdr:from>
    <xdr:to>
      <xdr:col>7</xdr:col>
      <xdr:colOff>0</xdr:colOff>
      <xdr:row>8</xdr:row>
      <xdr:rowOff>57150</xdr:rowOff>
    </xdr:to>
    <xdr:sp macro="" textlink="">
      <xdr:nvSpPr>
        <xdr:cNvPr id="5" name="Rectangle 7"/>
        <xdr:cNvSpPr>
          <a:spLocks noChangeArrowheads="1"/>
        </xdr:cNvSpPr>
      </xdr:nvSpPr>
      <xdr:spPr bwMode="auto">
        <a:xfrm>
          <a:off x="8191499" y="800100"/>
          <a:ext cx="2457451" cy="156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  1. Do not insert or remove entire rows (This will mess up the labeling order in the chart).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  2. Edit the </a:t>
          </a:r>
          <a:r>
            <a:rPr kumimoji="0" lang="en-US" sz="1000" b="1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yellow</a:t>
          </a:r>
          <a:r>
            <a:rPr kumimoji="0" lang="en-US" sz="1000" b="0" i="0" u="none" strike="noStrike" kern="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 cells. You can copy and paste, delete, insert, and sort, as long as you do not insert or delete entire rows.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485774</xdr:colOff>
      <xdr:row>7</xdr:row>
      <xdr:rowOff>38099</xdr:rowOff>
    </xdr:from>
    <xdr:to>
      <xdr:col>7</xdr:col>
      <xdr:colOff>781049</xdr:colOff>
      <xdr:row>27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0.29913</cdr:x>
      <cdr:y>0.87417</cdr:y>
    </cdr:from>
    <cdr:to>
      <cdr:x>0.97058</cdr:x>
      <cdr:y>0.94161</cdr:y>
    </cdr:to>
    <cdr:sp macro="" textlink="Timeline!$B$2">
      <cdr:nvSpPr>
        <cdr:cNvPr id="2" name="Rounded Rectangle 1"/>
        <cdr:cNvSpPr/>
      </cdr:nvSpPr>
      <cdr:spPr>
        <a:xfrm xmlns:a="http://schemas.openxmlformats.org/drawingml/2006/main">
          <a:off x="3273738" y="3863496"/>
          <a:ext cx="7348500" cy="298058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r"/>
          <a:fld id="{118984F2-1764-41D4-AE8B-D81D27E69FCB}" type="TxLink">
            <a:rPr lang="en-US" sz="1800">
              <a:ln>
                <a:solidFill>
                  <a:srgbClr val="0070C0"/>
                </a:solidFill>
              </a:ln>
              <a:effectLst/>
              <a:latin typeface="Courier New" pitchFamily="49" charset="0"/>
              <a:cs typeface="Courier New" pitchFamily="49" charset="0"/>
            </a:rPr>
            <a:pPr algn="r"/>
            <a:t>Timeline of Childhood Developmental Milestones</a:t>
          </a:fld>
          <a:endParaRPr lang="en-US" sz="1800">
            <a:ln>
              <a:solidFill>
                <a:srgbClr val="0070C0"/>
              </a:solidFill>
            </a:ln>
            <a:effectLst/>
            <a:latin typeface="Courier New" pitchFamily="49" charset="0"/>
            <a:cs typeface="Courier New" pitchFamily="49" charset="0"/>
          </a:endParaRPr>
        </a:p>
      </cdr:txBody>
    </cdr:sp>
  </cdr:relSizeAnchor>
  <cdr:relSizeAnchor xmlns:cdr="http://schemas.openxmlformats.org/drawingml/2006/chartDrawing">
    <cdr:from>
      <cdr:x>0.48115</cdr:x>
      <cdr:y>0</cdr:y>
    </cdr:from>
    <cdr:to>
      <cdr:x>0.98147</cdr:x>
      <cdr:y>0.06166</cdr:y>
    </cdr:to>
    <cdr:sp macro="" textlink="Timeline!$G$1">
      <cdr:nvSpPr>
        <cdr:cNvPr id="4" name="Rounded Rectangle 3"/>
        <cdr:cNvSpPr/>
      </cdr:nvSpPr>
      <cdr:spPr>
        <a:xfrm xmlns:a="http://schemas.openxmlformats.org/drawingml/2006/main">
          <a:off x="5105400" y="0"/>
          <a:ext cx="5308807" cy="30480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r"/>
          <a:fld id="{CE49DE26-0DCB-4187-8B7A-9F4DCF2B0EE7}" type="TxLink">
            <a:rPr lang="en-US" sz="1400" b="1">
              <a:solidFill>
                <a:schemeClr val="tx1">
                  <a:lumMod val="85000"/>
                  <a:lumOff val="15000"/>
                </a:schemeClr>
              </a:solidFill>
              <a:latin typeface="Courier New" pitchFamily="49" charset="0"/>
              <a:cs typeface="Courier New" pitchFamily="49" charset="0"/>
            </a:rPr>
            <a:pPr algn="r"/>
            <a:t>Aarohi : 0 years 2 months 6 days</a:t>
          </a:fld>
          <a:endParaRPr lang="en-US" sz="1400" b="1">
            <a:solidFill>
              <a:schemeClr val="tx1">
                <a:lumMod val="85000"/>
                <a:lumOff val="15000"/>
              </a:schemeClr>
            </a:solidFill>
            <a:latin typeface="Courier New" pitchFamily="49" charset="0"/>
            <a:cs typeface="Courier New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2"/>
  <sheetViews>
    <sheetView tabSelected="1" workbookViewId="0">
      <selection activeCell="B4" sqref="B4"/>
    </sheetView>
  </sheetViews>
  <sheetFormatPr defaultRowHeight="15" x14ac:dyDescent="0.25"/>
  <cols>
    <col min="1" max="1" width="11.28515625" customWidth="1"/>
    <col min="2" max="2" width="35" customWidth="1"/>
    <col min="3" max="3" width="9.140625" customWidth="1"/>
    <col min="4" max="4" width="7.85546875" bestFit="1" customWidth="1"/>
    <col min="5" max="5" width="24.5703125" bestFit="1" customWidth="1"/>
    <col min="6" max="6" width="34.7109375" bestFit="1" customWidth="1"/>
    <col min="7" max="7" width="37.140625" customWidth="1"/>
    <col min="8" max="8" width="56" customWidth="1"/>
  </cols>
  <sheetData>
    <row r="1" spans="1:8" ht="15.75" x14ac:dyDescent="0.25">
      <c r="A1" s="1" t="s">
        <v>40</v>
      </c>
      <c r="B1" s="11" t="s">
        <v>39</v>
      </c>
      <c r="E1" s="1" t="s">
        <v>23</v>
      </c>
      <c r="F1" s="12">
        <v>40839</v>
      </c>
      <c r="G1" t="str">
        <f ca="1">CONCATENATE(B1," : ",F2)</f>
        <v>Aarohi : 0 years 2 months 6 days</v>
      </c>
    </row>
    <row r="2" spans="1:8" ht="31.5" x14ac:dyDescent="0.25">
      <c r="A2" s="1" t="s">
        <v>0</v>
      </c>
      <c r="B2" s="11" t="s">
        <v>43</v>
      </c>
      <c r="E2" s="1" t="s">
        <v>41</v>
      </c>
      <c r="F2" t="str">
        <f ca="1">DATEDIF(F1,TODAY(),"y")&amp;" years "&amp;DATEDIF(F1,TODAY(),"ym")&amp;" months "&amp;DATEDIF(F1,TODAY(),"md")&amp;" days"</f>
        <v>0 years 2 months 6 days</v>
      </c>
    </row>
    <row r="3" spans="1:8" x14ac:dyDescent="0.25">
      <c r="A3" s="2" t="s">
        <v>21</v>
      </c>
      <c r="B3" s="2" t="s">
        <v>2</v>
      </c>
      <c r="C3" s="2" t="s">
        <v>22</v>
      </c>
      <c r="D3" s="2" t="s">
        <v>1</v>
      </c>
      <c r="E3" s="2" t="s">
        <v>2</v>
      </c>
      <c r="F3" s="2" t="s">
        <v>3</v>
      </c>
      <c r="G3" s="5" t="s">
        <v>4</v>
      </c>
    </row>
    <row r="4" spans="1:8" x14ac:dyDescent="0.25">
      <c r="A4" s="8">
        <v>2</v>
      </c>
      <c r="B4" s="9" t="s">
        <v>5</v>
      </c>
      <c r="C4" s="13" t="s">
        <v>44</v>
      </c>
      <c r="D4" s="3">
        <v>5</v>
      </c>
      <c r="E4" s="10">
        <f>$F$1+DATE(0,A4,0)</f>
        <v>40870</v>
      </c>
      <c r="F4" s="4" t="str">
        <f ca="1">OFFSET($B$4,ROW()-ROW($B$4),0,1,1)</f>
        <v>Smiles at the sound of your voice</v>
      </c>
      <c r="G4" s="6"/>
    </row>
    <row r="5" spans="1:8" ht="25.5" x14ac:dyDescent="0.25">
      <c r="A5" s="8">
        <v>3</v>
      </c>
      <c r="B5" s="9" t="s">
        <v>6</v>
      </c>
      <c r="C5" t="s">
        <v>44</v>
      </c>
      <c r="D5" s="3">
        <v>-35</v>
      </c>
      <c r="E5" s="10">
        <f t="shared" ref="E5:E34" si="0">$F$1+DATE(0,A5,0)</f>
        <v>40899</v>
      </c>
      <c r="F5" s="4" t="str">
        <f t="shared" ref="F5:F35" ca="1" si="1">OFFSET($B$4,ROW()-ROW($B$4),0,1,1)</f>
        <v>Raises head and chest when lying on stomach</v>
      </c>
      <c r="G5" s="7"/>
    </row>
    <row r="6" spans="1:8" x14ac:dyDescent="0.25">
      <c r="A6" s="8">
        <v>3</v>
      </c>
      <c r="B6" s="9" t="s">
        <v>7</v>
      </c>
      <c r="C6" t="s">
        <v>44</v>
      </c>
      <c r="D6" s="3">
        <v>-13</v>
      </c>
      <c r="E6" s="10">
        <f t="shared" si="0"/>
        <v>40899</v>
      </c>
      <c r="F6" s="4" t="str">
        <f t="shared" ca="1" si="1"/>
        <v>Grasps objects</v>
      </c>
      <c r="G6" s="7"/>
      <c r="H6" s="7"/>
    </row>
    <row r="7" spans="1:8" ht="38.25" customHeight="1" x14ac:dyDescent="0.25">
      <c r="A7" s="8">
        <v>3</v>
      </c>
      <c r="B7" s="9" t="s">
        <v>8</v>
      </c>
      <c r="C7" t="s">
        <v>44</v>
      </c>
      <c r="D7" s="3">
        <v>25</v>
      </c>
      <c r="E7" s="10">
        <f t="shared" si="0"/>
        <v>40899</v>
      </c>
      <c r="F7" s="4" t="str">
        <f t="shared" ca="1" si="1"/>
        <v>Smiles at other people</v>
      </c>
      <c r="H7" s="7"/>
    </row>
    <row r="8" spans="1:8" ht="25.5" x14ac:dyDescent="0.25">
      <c r="A8" s="8">
        <v>4</v>
      </c>
      <c r="B8" s="9" t="s">
        <v>9</v>
      </c>
      <c r="C8" t="s">
        <v>45</v>
      </c>
      <c r="D8" s="3">
        <v>35</v>
      </c>
      <c r="E8" s="10">
        <f t="shared" si="0"/>
        <v>40930</v>
      </c>
      <c r="F8" s="4" t="str">
        <f t="shared" ca="1" si="1"/>
        <v>Babbles, laughs, and tries to imitate sounds</v>
      </c>
      <c r="H8" s="7"/>
    </row>
    <row r="9" spans="1:8" ht="25.5" x14ac:dyDescent="0.25">
      <c r="A9" s="8">
        <v>6</v>
      </c>
      <c r="B9" s="9" t="s">
        <v>10</v>
      </c>
      <c r="C9" t="s">
        <v>45</v>
      </c>
      <c r="D9" s="3">
        <v>15</v>
      </c>
      <c r="E9" s="10">
        <f t="shared" si="0"/>
        <v>40991</v>
      </c>
      <c r="F9" s="4" t="str">
        <f t="shared" ca="1" si="1"/>
        <v>Rolls from back to stomach and stomach to back</v>
      </c>
      <c r="H9" s="6"/>
    </row>
    <row r="10" spans="1:8" ht="23.25" customHeight="1" x14ac:dyDescent="0.25">
      <c r="A10" s="8">
        <v>6</v>
      </c>
      <c r="B10" s="9" t="s">
        <v>11</v>
      </c>
      <c r="C10" t="s">
        <v>45</v>
      </c>
      <c r="D10" s="3">
        <v>-20</v>
      </c>
      <c r="E10" s="10">
        <f t="shared" si="0"/>
        <v>40991</v>
      </c>
      <c r="F10" s="4" t="str">
        <f t="shared" ca="1" si="1"/>
        <v>Moves objects from hand to hand</v>
      </c>
      <c r="H10" s="6"/>
    </row>
    <row r="11" spans="1:8" x14ac:dyDescent="0.25">
      <c r="A11" s="8">
        <v>7</v>
      </c>
      <c r="B11" s="9" t="s">
        <v>12</v>
      </c>
      <c r="C11" t="s">
        <v>45</v>
      </c>
      <c r="D11" s="3">
        <v>-7</v>
      </c>
      <c r="E11" s="10">
        <f t="shared" si="0"/>
        <v>41021</v>
      </c>
      <c r="F11" s="4" t="str">
        <f t="shared" ca="1" si="1"/>
        <v>Responds to own name</v>
      </c>
      <c r="H11" s="6"/>
    </row>
    <row r="12" spans="1:8" ht="23.25" customHeight="1" x14ac:dyDescent="0.25">
      <c r="A12" s="8">
        <v>7</v>
      </c>
      <c r="B12" s="9" t="s">
        <v>13</v>
      </c>
      <c r="C12" t="s">
        <v>45</v>
      </c>
      <c r="D12" s="3">
        <v>10</v>
      </c>
      <c r="E12" s="10">
        <f t="shared" si="0"/>
        <v>41021</v>
      </c>
      <c r="F12" s="4" t="str">
        <f t="shared" ca="1" si="1"/>
        <v>Finds partially hidden objects</v>
      </c>
      <c r="H12" s="6"/>
    </row>
    <row r="13" spans="1:8" x14ac:dyDescent="0.25">
      <c r="A13" s="8">
        <v>9</v>
      </c>
      <c r="B13" s="9" t="s">
        <v>14</v>
      </c>
      <c r="C13" t="s">
        <v>45</v>
      </c>
      <c r="D13" s="3">
        <v>-28</v>
      </c>
      <c r="E13" s="10">
        <f t="shared" si="0"/>
        <v>41083</v>
      </c>
      <c r="F13" s="4" t="str">
        <f t="shared" ca="1" si="1"/>
        <v>Sits without support</v>
      </c>
      <c r="H13" s="6"/>
    </row>
    <row r="14" spans="1:8" x14ac:dyDescent="0.25">
      <c r="A14" s="8">
        <v>9</v>
      </c>
      <c r="B14" s="9" t="s">
        <v>15</v>
      </c>
      <c r="C14" t="s">
        <v>45</v>
      </c>
      <c r="D14" s="3">
        <v>-25</v>
      </c>
      <c r="E14" s="10">
        <f t="shared" si="0"/>
        <v>41083</v>
      </c>
      <c r="F14" s="4" t="str">
        <f t="shared" ca="1" si="1"/>
        <v>Crawls</v>
      </c>
      <c r="H14" s="6"/>
    </row>
    <row r="15" spans="1:8" x14ac:dyDescent="0.25">
      <c r="A15" s="8">
        <v>12</v>
      </c>
      <c r="B15" s="9" t="s">
        <v>16</v>
      </c>
      <c r="C15" t="s">
        <v>45</v>
      </c>
      <c r="D15" s="3">
        <v>-15</v>
      </c>
      <c r="E15" s="10">
        <f t="shared" si="0"/>
        <v>41174</v>
      </c>
      <c r="F15" s="4" t="str">
        <f t="shared" ca="1" si="1"/>
        <v>Walks with or without support</v>
      </c>
      <c r="H15" s="6"/>
    </row>
    <row r="16" spans="1:8" x14ac:dyDescent="0.25">
      <c r="A16" s="8">
        <v>12</v>
      </c>
      <c r="B16" s="9" t="s">
        <v>17</v>
      </c>
      <c r="C16" t="s">
        <v>45</v>
      </c>
      <c r="D16" s="3">
        <v>28</v>
      </c>
      <c r="E16" s="10">
        <f t="shared" si="0"/>
        <v>41174</v>
      </c>
      <c r="F16" s="4" t="str">
        <f t="shared" ca="1" si="1"/>
        <v>Says at least one word</v>
      </c>
      <c r="H16" s="6"/>
    </row>
    <row r="17" spans="1:8" ht="23.25" customHeight="1" x14ac:dyDescent="0.25">
      <c r="A17" s="8">
        <v>12</v>
      </c>
      <c r="B17" s="9" t="s">
        <v>18</v>
      </c>
      <c r="C17" t="s">
        <v>45</v>
      </c>
      <c r="D17" s="3">
        <v>22</v>
      </c>
      <c r="E17" s="10">
        <f t="shared" si="0"/>
        <v>41174</v>
      </c>
      <c r="F17" s="4" t="str">
        <f t="shared" ca="1" si="1"/>
        <v>Enjoys imitating people</v>
      </c>
      <c r="H17" s="6"/>
    </row>
    <row r="18" spans="1:8" x14ac:dyDescent="0.25">
      <c r="A18" s="8">
        <v>18</v>
      </c>
      <c r="B18" s="9" t="s">
        <v>19</v>
      </c>
      <c r="C18" t="s">
        <v>45</v>
      </c>
      <c r="D18" s="3">
        <v>12</v>
      </c>
      <c r="E18" s="10">
        <f t="shared" si="0"/>
        <v>41356</v>
      </c>
      <c r="F18" s="4" t="str">
        <f t="shared" ca="1" si="1"/>
        <v>Walks independently</v>
      </c>
      <c r="H18" s="6"/>
    </row>
    <row r="19" spans="1:8" x14ac:dyDescent="0.25">
      <c r="A19" s="8">
        <v>18</v>
      </c>
      <c r="B19" s="9" t="s">
        <v>20</v>
      </c>
      <c r="C19" t="s">
        <v>45</v>
      </c>
      <c r="D19" s="3">
        <v>32</v>
      </c>
      <c r="E19" s="10">
        <f t="shared" si="0"/>
        <v>41356</v>
      </c>
      <c r="F19" s="4" t="str">
        <f t="shared" ca="1" si="1"/>
        <v>Drinks from a cup</v>
      </c>
      <c r="H19" s="6"/>
    </row>
    <row r="20" spans="1:8" x14ac:dyDescent="0.25">
      <c r="A20" s="8">
        <v>18</v>
      </c>
      <c r="B20" s="9" t="s">
        <v>24</v>
      </c>
      <c r="C20" t="s">
        <v>45</v>
      </c>
      <c r="D20" s="3">
        <v>-8</v>
      </c>
      <c r="E20" s="10">
        <f t="shared" si="0"/>
        <v>41356</v>
      </c>
      <c r="F20" s="4" t="str">
        <f t="shared" ca="1" si="1"/>
        <v>Says at least 15 words</v>
      </c>
      <c r="H20" s="6"/>
    </row>
    <row r="21" spans="1:8" x14ac:dyDescent="0.25">
      <c r="A21" s="8">
        <v>24</v>
      </c>
      <c r="B21" s="9" t="s">
        <v>25</v>
      </c>
      <c r="C21" t="s">
        <v>45</v>
      </c>
      <c r="D21" s="3">
        <v>5</v>
      </c>
      <c r="E21" s="10">
        <f t="shared" si="0"/>
        <v>41539</v>
      </c>
      <c r="F21" s="4" t="str">
        <f t="shared" ca="1" si="1"/>
        <v>Runs</v>
      </c>
      <c r="H21" s="6"/>
    </row>
    <row r="22" spans="1:8" x14ac:dyDescent="0.25">
      <c r="A22" s="8">
        <v>24</v>
      </c>
      <c r="B22" s="9" t="s">
        <v>26</v>
      </c>
      <c r="C22" t="s">
        <v>45</v>
      </c>
      <c r="D22" s="3">
        <v>18</v>
      </c>
      <c r="E22" s="10">
        <f t="shared" si="0"/>
        <v>41539</v>
      </c>
      <c r="F22" s="4" t="str">
        <f t="shared" ca="1" si="1"/>
        <v>Speaks in two-word sentences</v>
      </c>
      <c r="H22" s="6"/>
    </row>
    <row r="23" spans="1:8" x14ac:dyDescent="0.25">
      <c r="A23" s="8">
        <v>24</v>
      </c>
      <c r="B23" s="9" t="s">
        <v>27</v>
      </c>
      <c r="C23" t="s">
        <v>45</v>
      </c>
      <c r="D23" s="3">
        <v>25</v>
      </c>
      <c r="E23" s="10">
        <f t="shared" si="0"/>
        <v>41539</v>
      </c>
      <c r="F23" s="4" t="str">
        <f t="shared" ca="1" si="1"/>
        <v>Follows simple instructions</v>
      </c>
      <c r="H23" s="6"/>
    </row>
    <row r="24" spans="1:8" x14ac:dyDescent="0.25">
      <c r="A24" s="8">
        <v>24</v>
      </c>
      <c r="B24" s="9" t="s">
        <v>28</v>
      </c>
      <c r="C24" t="s">
        <v>45</v>
      </c>
      <c r="D24" s="3">
        <v>-20</v>
      </c>
      <c r="E24" s="10">
        <f t="shared" si="0"/>
        <v>41539</v>
      </c>
      <c r="F24" s="4" t="str">
        <f t="shared" ca="1" si="1"/>
        <v>Begins make-believe play</v>
      </c>
      <c r="H24" s="6"/>
    </row>
    <row r="25" spans="1:8" x14ac:dyDescent="0.25">
      <c r="A25" s="8">
        <v>36</v>
      </c>
      <c r="B25" s="9" t="s">
        <v>29</v>
      </c>
      <c r="C25" t="s">
        <v>45</v>
      </c>
      <c r="D25" s="3">
        <v>30</v>
      </c>
      <c r="E25" s="10">
        <f t="shared" si="0"/>
        <v>41904</v>
      </c>
      <c r="F25" s="4" t="str">
        <f t="shared" ca="1" si="1"/>
        <v>Climbs well</v>
      </c>
      <c r="H25" s="6"/>
    </row>
    <row r="26" spans="1:8" x14ac:dyDescent="0.25">
      <c r="A26" s="8">
        <v>36</v>
      </c>
      <c r="B26" s="9" t="s">
        <v>30</v>
      </c>
      <c r="C26" t="s">
        <v>45</v>
      </c>
      <c r="D26" s="3">
        <v>7</v>
      </c>
      <c r="E26" s="10">
        <f t="shared" si="0"/>
        <v>41904</v>
      </c>
      <c r="F26" s="4" t="str">
        <f t="shared" ca="1" si="1"/>
        <v>Speaks in multiword sentences</v>
      </c>
      <c r="H26" s="6"/>
    </row>
    <row r="27" spans="1:8" x14ac:dyDescent="0.25">
      <c r="A27" s="8">
        <v>36</v>
      </c>
      <c r="B27" s="9" t="s">
        <v>31</v>
      </c>
      <c r="C27" t="s">
        <v>45</v>
      </c>
      <c r="D27" s="3">
        <v>-15</v>
      </c>
      <c r="E27" s="10">
        <f t="shared" si="0"/>
        <v>41904</v>
      </c>
      <c r="F27" s="4" t="str">
        <f t="shared" ca="1" si="1"/>
        <v>Sorts objects by shape and color</v>
      </c>
      <c r="H27" s="6"/>
    </row>
    <row r="28" spans="1:8" ht="25.5" x14ac:dyDescent="0.25">
      <c r="A28" s="8">
        <v>48</v>
      </c>
      <c r="B28" s="9" t="s">
        <v>32</v>
      </c>
      <c r="C28" t="s">
        <v>45</v>
      </c>
      <c r="D28" s="3">
        <v>-25</v>
      </c>
      <c r="E28" s="10">
        <f t="shared" si="0"/>
        <v>42269</v>
      </c>
      <c r="F28" s="4" t="str">
        <f t="shared" ca="1" si="1"/>
        <v>Gets along with people outside the family</v>
      </c>
      <c r="H28" s="6"/>
    </row>
    <row r="29" spans="1:8" x14ac:dyDescent="0.25">
      <c r="A29" s="8">
        <v>48</v>
      </c>
      <c r="B29" s="9" t="s">
        <v>33</v>
      </c>
      <c r="C29" t="s">
        <v>45</v>
      </c>
      <c r="D29" s="3">
        <v>15</v>
      </c>
      <c r="E29" s="10">
        <f t="shared" si="0"/>
        <v>42269</v>
      </c>
      <c r="F29" s="4" t="str">
        <f t="shared" ca="1" si="1"/>
        <v>Draws circles and squares</v>
      </c>
      <c r="H29" s="6"/>
    </row>
    <row r="30" spans="1:8" x14ac:dyDescent="0.25">
      <c r="A30" s="8">
        <v>48</v>
      </c>
      <c r="B30" s="9" t="s">
        <v>34</v>
      </c>
      <c r="C30" t="s">
        <v>45</v>
      </c>
      <c r="D30" s="3">
        <v>25</v>
      </c>
      <c r="E30" s="10">
        <f t="shared" si="0"/>
        <v>42269</v>
      </c>
      <c r="F30" s="4" t="str">
        <f t="shared" ca="1" si="1"/>
        <v>Rides a tricycle</v>
      </c>
    </row>
    <row r="31" spans="1:8" x14ac:dyDescent="0.25">
      <c r="A31" s="8">
        <v>60</v>
      </c>
      <c r="B31" s="9" t="s">
        <v>35</v>
      </c>
      <c r="C31" t="s">
        <v>45</v>
      </c>
      <c r="D31" s="3">
        <v>-10</v>
      </c>
      <c r="E31" s="10">
        <f t="shared" si="0"/>
        <v>42635</v>
      </c>
      <c r="F31" s="4" t="str">
        <f t="shared" ca="1" si="1"/>
        <v>Tells name and address</v>
      </c>
      <c r="H31" s="6"/>
    </row>
    <row r="32" spans="1:8" x14ac:dyDescent="0.25">
      <c r="A32" s="8">
        <v>60</v>
      </c>
      <c r="B32" s="9" t="s">
        <v>36</v>
      </c>
      <c r="C32" t="s">
        <v>45</v>
      </c>
      <c r="D32" s="3">
        <v>10</v>
      </c>
      <c r="E32" s="10">
        <f t="shared" si="0"/>
        <v>42635</v>
      </c>
      <c r="F32" s="4" t="str">
        <f t="shared" ca="1" si="1"/>
        <v>Jumps, hops, and skips</v>
      </c>
      <c r="H32" s="6"/>
    </row>
    <row r="33" spans="1:8" x14ac:dyDescent="0.25">
      <c r="A33" s="8">
        <v>60</v>
      </c>
      <c r="B33" s="9" t="s">
        <v>37</v>
      </c>
      <c r="C33" t="s">
        <v>45</v>
      </c>
      <c r="D33" s="3">
        <v>20</v>
      </c>
      <c r="E33" s="10">
        <f t="shared" si="0"/>
        <v>42635</v>
      </c>
      <c r="F33" s="4" t="str">
        <f t="shared" ca="1" si="1"/>
        <v>Gets dressed</v>
      </c>
      <c r="H33" s="6"/>
    </row>
    <row r="34" spans="1:8" x14ac:dyDescent="0.25">
      <c r="A34" s="8">
        <v>60</v>
      </c>
      <c r="B34" s="9" t="s">
        <v>38</v>
      </c>
      <c r="C34" t="s">
        <v>45</v>
      </c>
      <c r="D34" s="3">
        <v>-20</v>
      </c>
      <c r="E34" s="10">
        <f t="shared" si="0"/>
        <v>42635</v>
      </c>
      <c r="F34" s="4" t="str">
        <f t="shared" ca="1" si="1"/>
        <v>Counts 10 or more objects</v>
      </c>
      <c r="H34" s="6"/>
    </row>
    <row r="35" spans="1:8" x14ac:dyDescent="0.25">
      <c r="B35" s="9" t="s">
        <v>42</v>
      </c>
      <c r="C35" t="s">
        <v>46</v>
      </c>
      <c r="D35" s="3">
        <v>10</v>
      </c>
      <c r="E35" s="10">
        <f ca="1">TODAY()</f>
        <v>40906</v>
      </c>
      <c r="F35" s="4" t="str">
        <f t="shared" ca="1" si="1"/>
        <v>Today</v>
      </c>
      <c r="H35" s="6"/>
    </row>
    <row r="36" spans="1:8" x14ac:dyDescent="0.25">
      <c r="H36" s="6"/>
    </row>
    <row r="37" spans="1:8" x14ac:dyDescent="0.25">
      <c r="H37" s="6"/>
    </row>
    <row r="38" spans="1:8" x14ac:dyDescent="0.25">
      <c r="H38" s="6"/>
    </row>
    <row r="39" spans="1:8" x14ac:dyDescent="0.25">
      <c r="H39" s="6"/>
    </row>
    <row r="40" spans="1:8" x14ac:dyDescent="0.25">
      <c r="H40" s="6"/>
    </row>
    <row r="41" spans="1:8" x14ac:dyDescent="0.25">
      <c r="H41" s="6"/>
    </row>
    <row r="42" spans="1:8" x14ac:dyDescent="0.25">
      <c r="H42" s="6"/>
    </row>
  </sheetData>
  <dataConsolidate/>
  <conditionalFormatting sqref="C4">
    <cfRule type="containsText" dxfId="4" priority="5" operator="containsText" text="red">
      <formula>NOT(ISERROR(SEARCH("red",C4)))</formula>
    </cfRule>
  </conditionalFormatting>
  <conditionalFormatting sqref="C1:C1048576">
    <cfRule type="cellIs" dxfId="3" priority="4" operator="equal">
      <formula>"green"</formula>
    </cfRule>
    <cfRule type="cellIs" dxfId="2" priority="3" operator="equal">
      <formula>"yellow"</formula>
    </cfRule>
    <cfRule type="cellIs" dxfId="1" priority="2" operator="equal">
      <formula>"gray"</formula>
    </cfRule>
    <cfRule type="cellIs" dxfId="0" priority="1" operator="equal">
      <formula>"purple"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Props1.xml><?xml version="1.0" encoding="utf-8"?>
<ds:datastoreItem xmlns:ds="http://schemas.openxmlformats.org/officeDocument/2006/customXml" ds:itemID="{184A28EA-B499-43BC-ABEC-6EC76960260A}">
  <ds:schemaRefs/>
</ds:datastoreItem>
</file>

<file path=customXml/itemProps2.xml><?xml version="1.0" encoding="utf-8"?>
<ds:datastoreItem xmlns:ds="http://schemas.openxmlformats.org/officeDocument/2006/customXml" ds:itemID="{0AFDCC50-963B-439C-83E5-25A0831A9F95}">
  <ds:schemaRefs/>
</ds:datastoreItem>
</file>

<file path=customXml/itemProps3.xml><?xml version="1.0" encoding="utf-8"?>
<ds:datastoreItem xmlns:ds="http://schemas.openxmlformats.org/officeDocument/2006/customXml" ds:itemID="{DFBF0BCB-0D3E-43AE-A882-83A403E1AE0D}">
  <ds:schemaRefs/>
</ds:datastoreItem>
</file>

<file path=customXml/itemProps4.xml><?xml version="1.0" encoding="utf-8"?>
<ds:datastoreItem xmlns:ds="http://schemas.openxmlformats.org/officeDocument/2006/customXml" ds:itemID="{A4B2BEDD-A5FE-40AD-BBB3-17C772DB77C8}">
  <ds:schemaRefs/>
</ds:datastoreItem>
</file>

<file path=customXml/itemProps5.xml><?xml version="1.0" encoding="utf-8"?>
<ds:datastoreItem xmlns:ds="http://schemas.openxmlformats.org/officeDocument/2006/customXml" ds:itemID="{4E7BE6A6-7B09-46D7-AE5B-C69A5BB85BF5}">
  <ds:schemaRefs/>
</ds:datastoreItem>
</file>

<file path=customXml/itemProps6.xml><?xml version="1.0" encoding="utf-8"?>
<ds:datastoreItem xmlns:ds="http://schemas.openxmlformats.org/officeDocument/2006/customXml" ds:itemID="{72BEE76F-5302-40C5-8CCE-1F598809CC42}">
  <ds:schemaRefs/>
</ds:datastoreItem>
</file>

<file path=customXml/itemProps7.xml><?xml version="1.0" encoding="utf-8"?>
<ds:datastoreItem xmlns:ds="http://schemas.openxmlformats.org/officeDocument/2006/customXml" ds:itemID="{36067560-3408-4754-9419-9E6B5CBF7F4F}">
  <ds:schemaRefs/>
</ds:datastoreItem>
</file>

<file path=customXml/itemProps8.xml><?xml version="1.0" encoding="utf-8"?>
<ds:datastoreItem xmlns:ds="http://schemas.openxmlformats.org/officeDocument/2006/customXml" ds:itemID="{79D76213-158C-4A6E-B6A8-A8A39CAC51C1}">
  <ds:schemaRefs/>
</ds:datastoreItem>
</file>

<file path=customXml/itemProps9.xml><?xml version="1.0" encoding="utf-8"?>
<ds:datastoreItem xmlns:ds="http://schemas.openxmlformats.org/officeDocument/2006/customXml" ds:itemID="{7B095D87-E2BA-474F-AD3A-28D34D272CA3}">
  <ds:schemaRefs/>
</ds:datastoreItem>
</file>

<file path=customXml/itemProps10.xml><?xml version="1.0" encoding="utf-8"?>
<ds:datastoreItem xmlns:ds="http://schemas.openxmlformats.org/officeDocument/2006/customXml" ds:itemID="{6327028D-DDE2-4D87-B9AC-F356DE83E71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Timeline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2011-12-29T14:16:38Z</dcterms:modified>
</cp:coreProperties>
</file>